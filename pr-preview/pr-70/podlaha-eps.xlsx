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ístnosti" sheetId="1" state="visible" r:id="rId1"/>
    <sheet xmlns:r="http://schemas.openxmlformats.org/officeDocument/2006/relationships" name="Souhrn EPS" sheetId="2" state="visible" r:id="rId2"/>
    <sheet xmlns:r="http://schemas.openxmlformats.org/officeDocument/2006/relationships"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0" customWidth="1" min="3" max="3"/>
    <col width="18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1" customWidth="1" min="12" max="12"/>
    <col width="11" customWidth="1" min="13" max="13"/>
    <col width="9" customWidth="1" min="14" max="14"/>
    <col width="11" customWidth="1" min="15" max="15"/>
    <col width="70" customWidth="1" min="16" max="16"/>
  </cols>
  <sheetData>
    <row r="1">
      <c r="A1" s="1" t="inlineStr">
        <is>
          <t>Č. m.</t>
        </is>
      </c>
      <c r="B1" s="1" t="inlineStr">
        <is>
          <t>Místnost</t>
        </is>
      </c>
      <c r="C1" s="1" t="inlineStr">
        <is>
          <t>Plocha m²</t>
        </is>
      </c>
      <c r="D1" s="1" t="inlineStr">
        <is>
          <t>Finál</t>
        </is>
      </c>
      <c r="E1" s="1" t="inlineStr">
        <is>
          <t>Finál mm</t>
        </is>
      </c>
      <c r="F1" s="1" t="inlineStr">
        <is>
          <t>Beton / potěr mm</t>
        </is>
      </c>
      <c r="G1" s="1" t="inlineStr">
        <is>
          <t>Hydroizolace mm</t>
        </is>
      </c>
      <c r="H1" s="1" t="inlineStr">
        <is>
          <t>Systémová deska mm</t>
        </is>
      </c>
      <c r="I1" s="1" t="inlineStr">
        <is>
          <t>EPS vypočteno mm</t>
        </is>
      </c>
      <c r="J1" s="1" t="inlineStr">
        <is>
          <t>EPS celkem mm</t>
        </is>
      </c>
      <c r="K1" s="1" t="inlineStr">
        <is>
          <t>Skladba EPS (vrstvy)</t>
        </is>
      </c>
      <c r="L1" s="1" t="inlineStr">
        <is>
          <t>Typ EPS</t>
        </is>
      </c>
      <c r="M1" s="1" t="inlineStr">
        <is>
          <t>EPS m² (plocha)</t>
        </is>
      </c>
      <c r="N1" s="1" t="inlineStr">
        <is>
          <t>EPS m³</t>
        </is>
      </c>
      <c r="O1" s="1" t="inlineStr">
        <is>
          <t>Celkem skladba mm</t>
        </is>
      </c>
      <c r="P1" s="1" t="inlineStr">
        <is>
          <t>Poznámka</t>
        </is>
      </c>
    </row>
    <row r="2">
      <c r="A2" s="2" t="inlineStr">
        <is>
          <t>Skladba nad podkladním betonem = 250 mm (projekt D.1.1.08: A 251,2 / C 250,2). EPS = 250 − finál − beton − hydroizolace 8 − syst. deska 50, zaokrouhleno na prodejné desky.</t>
        </is>
      </c>
    </row>
    <row r="3">
      <c r="A3" t="inlineStr">
        <is>
          <t>1.01</t>
        </is>
      </c>
      <c r="B3" t="inlineStr">
        <is>
          <t>Zádveří</t>
        </is>
      </c>
      <c r="C3" t="n">
        <v>19.98</v>
      </c>
      <c r="D3" t="inlineStr">
        <is>
          <t>PU stěrka 4</t>
        </is>
      </c>
      <c r="E3" t="n">
        <v>4</v>
      </c>
      <c r="F3" t="n">
        <v>68</v>
      </c>
      <c r="G3" t="n">
        <v>8</v>
      </c>
      <c r="H3" t="n">
        <v>50</v>
      </c>
      <c r="I3" t="n">
        <v>120</v>
      </c>
      <c r="J3" t="n">
        <v>120</v>
      </c>
      <c r="K3" t="inlineStr">
        <is>
          <t>60 + 60</t>
        </is>
      </c>
      <c r="L3" t="inlineStr">
        <is>
          <t>EPS 100 S</t>
        </is>
      </c>
      <c r="M3" t="n">
        <v>19.98</v>
      </c>
      <c r="N3" t="n">
        <v>2.398</v>
      </c>
      <c r="O3" t="n">
        <v>250</v>
      </c>
      <c r="P3" t="inlineStr">
        <is>
          <t>Potěr 68 mm (250 − 8 − 120 − 50 − 4). Bílý EPS, 2 vrstvy na vazbu.</t>
        </is>
      </c>
    </row>
    <row r="4">
      <c r="A4" t="inlineStr">
        <is>
          <t>1.02</t>
        </is>
      </c>
      <c r="B4" t="inlineStr">
        <is>
          <t>Obývací pokoj+KK</t>
        </is>
      </c>
      <c r="C4" t="n">
        <v>58.91</v>
      </c>
      <c r="D4" t="inlineStr">
        <is>
          <t>PU stěrka 4</t>
        </is>
      </c>
      <c r="E4" t="n">
        <v>4</v>
      </c>
      <c r="F4" t="n">
        <v>68</v>
      </c>
      <c r="G4" t="n">
        <v>8</v>
      </c>
      <c r="H4" t="n">
        <v>50</v>
      </c>
      <c r="I4" t="n">
        <v>120</v>
      </c>
      <c r="J4" t="n">
        <v>120</v>
      </c>
      <c r="K4" t="inlineStr">
        <is>
          <t>60 + 60</t>
        </is>
      </c>
      <c r="L4" t="inlineStr">
        <is>
          <t>EPS 100 S</t>
        </is>
      </c>
      <c r="M4" t="n">
        <v>58.91</v>
      </c>
      <c r="N4" t="n">
        <v>7.069</v>
      </c>
      <c r="O4" t="n">
        <v>250</v>
      </c>
      <c r="P4" t="inlineStr">
        <is>
          <t>Potěr 68 mm (250 − 8 − 120 − 50 − 4). Bílý EPS, 2 vrstvy na vazbu.</t>
        </is>
      </c>
    </row>
    <row r="5">
      <c r="A5" t="inlineStr">
        <is>
          <t>1.03</t>
        </is>
      </c>
      <c r="B5" t="inlineStr">
        <is>
          <t>Spíž</t>
        </is>
      </c>
      <c r="C5" t="n">
        <v>5.32</v>
      </c>
      <c r="D5" t="inlineStr">
        <is>
          <t>PU stěrka 4</t>
        </is>
      </c>
      <c r="E5" t="n">
        <v>4</v>
      </c>
      <c r="F5" t="n">
        <v>68</v>
      </c>
      <c r="G5" t="n">
        <v>8</v>
      </c>
      <c r="H5" t="n">
        <v>50</v>
      </c>
      <c r="I5" t="n">
        <v>120</v>
      </c>
      <c r="J5" t="n">
        <v>120</v>
      </c>
      <c r="K5" t="inlineStr">
        <is>
          <t>60 + 60</t>
        </is>
      </c>
      <c r="L5" t="inlineStr">
        <is>
          <t>EPS 100 S</t>
        </is>
      </c>
      <c r="M5" t="n">
        <v>5.32</v>
      </c>
      <c r="N5" t="n">
        <v>0.638</v>
      </c>
      <c r="O5" t="n">
        <v>250</v>
      </c>
      <c r="P5" t="inlineStr">
        <is>
          <t>Potěr 68 mm (250 − 8 − 120 − 50 − 4). Bílý EPS, 2 vrstvy na vazbu.</t>
        </is>
      </c>
    </row>
    <row r="6">
      <c r="A6" t="inlineStr">
        <is>
          <t>1.04</t>
        </is>
      </c>
      <c r="B6" t="inlineStr">
        <is>
          <t>Technická místnost</t>
        </is>
      </c>
      <c r="C6" t="n">
        <v>5.88</v>
      </c>
      <c r="D6" t="inlineStr">
        <is>
          <t>PU stěrka 4</t>
        </is>
      </c>
      <c r="E6" t="n">
        <v>4</v>
      </c>
      <c r="F6" t="n">
        <v>68</v>
      </c>
      <c r="G6" t="n">
        <v>8</v>
      </c>
      <c r="H6" t="n">
        <v>50</v>
      </c>
      <c r="I6" t="n">
        <v>120</v>
      </c>
      <c r="J6" t="n">
        <v>120</v>
      </c>
      <c r="K6" t="inlineStr">
        <is>
          <t>60 + 60</t>
        </is>
      </c>
      <c r="L6" t="inlineStr">
        <is>
          <t>EPS 100 S</t>
        </is>
      </c>
      <c r="M6" t="n">
        <v>5.88</v>
      </c>
      <c r="N6" t="n">
        <v>0.706</v>
      </c>
      <c r="O6" t="n">
        <v>250</v>
      </c>
      <c r="P6" t="inlineStr">
        <is>
          <t>Potěr 68 mm (250 − 8 − 120 − 50 − 4). Bílý EPS, 2 vrstvy na vazbu.</t>
        </is>
      </c>
    </row>
    <row r="7">
      <c r="A7" t="inlineStr">
        <is>
          <t>1.05</t>
        </is>
      </c>
      <c r="B7" t="inlineStr">
        <is>
          <t>Chodba</t>
        </is>
      </c>
      <c r="C7" t="n">
        <v>24.72</v>
      </c>
      <c r="D7" t="inlineStr">
        <is>
          <t>PU stěrka 4</t>
        </is>
      </c>
      <c r="E7" t="n">
        <v>4</v>
      </c>
      <c r="F7" t="n">
        <v>68</v>
      </c>
      <c r="G7" t="n">
        <v>8</v>
      </c>
      <c r="H7" t="n">
        <v>50</v>
      </c>
      <c r="I7" t="n">
        <v>120</v>
      </c>
      <c r="J7" t="n">
        <v>120</v>
      </c>
      <c r="K7" t="inlineStr">
        <is>
          <t>60 + 60</t>
        </is>
      </c>
      <c r="L7" t="inlineStr">
        <is>
          <t>EPS 100 S</t>
        </is>
      </c>
      <c r="M7" t="n">
        <v>24.72</v>
      </c>
      <c r="N7" t="n">
        <v>2.966</v>
      </c>
      <c r="O7" t="n">
        <v>250</v>
      </c>
      <c r="P7" t="inlineStr">
        <is>
          <t>Potěr 68 mm (250 − 8 − 120 − 50 − 4). Bílý EPS, 2 vrstvy na vazbu.</t>
        </is>
      </c>
    </row>
    <row r="8">
      <c r="A8" t="inlineStr">
        <is>
          <t>1.06</t>
        </is>
      </c>
      <c r="B8" t="inlineStr">
        <is>
          <t>WC</t>
        </is>
      </c>
      <c r="C8" t="n">
        <v>2.93</v>
      </c>
      <c r="D8" t="inlineStr">
        <is>
          <t>lepidlo+dlažba 13</t>
        </is>
      </c>
      <c r="E8" t="n">
        <v>13</v>
      </c>
      <c r="F8" t="n">
        <v>59</v>
      </c>
      <c r="G8" t="n">
        <v>8</v>
      </c>
      <c r="H8" t="n">
        <v>50</v>
      </c>
      <c r="I8" t="n">
        <v>120</v>
      </c>
      <c r="J8" t="n">
        <v>120</v>
      </c>
      <c r="K8" t="inlineStr">
        <is>
          <t>60 + 60</t>
        </is>
      </c>
      <c r="L8" t="inlineStr">
        <is>
          <t>EPS 100 S</t>
        </is>
      </c>
      <c r="M8" t="n">
        <v>2.93</v>
      </c>
      <c r="N8" t="n">
        <v>0.352</v>
      </c>
      <c r="O8" t="n">
        <v>250</v>
      </c>
      <c r="P8" t="inlineStr">
        <is>
          <t>Stejný EPS jako dům; potěr 59 mm (o 9 mm tenčí kvůli dlažbě).</t>
        </is>
      </c>
    </row>
    <row r="9">
      <c r="A9" t="inlineStr">
        <is>
          <t>1.07</t>
        </is>
      </c>
      <c r="B9" t="inlineStr">
        <is>
          <t>Koupelna (mimo sprchu)</t>
        </is>
      </c>
      <c r="C9" t="n">
        <v>6.49</v>
      </c>
      <c r="D9" t="inlineStr">
        <is>
          <t>lepidlo+dlažba 13</t>
        </is>
      </c>
      <c r="E9" t="n">
        <v>13</v>
      </c>
      <c r="F9" t="n">
        <v>59</v>
      </c>
      <c r="G9" t="n">
        <v>8</v>
      </c>
      <c r="H9" t="n">
        <v>50</v>
      </c>
      <c r="I9" t="n">
        <v>120</v>
      </c>
      <c r="J9" t="n">
        <v>120</v>
      </c>
      <c r="K9" t="inlineStr">
        <is>
          <t>60 + 60</t>
        </is>
      </c>
      <c r="L9" t="inlineStr">
        <is>
          <t>EPS 100 S</t>
        </is>
      </c>
      <c r="M9" t="n">
        <v>6.49</v>
      </c>
      <c r="N9" t="n">
        <v>0.779</v>
      </c>
      <c r="O9" t="n">
        <v>250</v>
      </c>
      <c r="P9" t="inlineStr">
        <is>
          <t>Stejný EPS jako dům; potěr 59 mm (o 9 mm tenčí kvůli dlažbě).</t>
        </is>
      </c>
    </row>
    <row r="10">
      <c r="A10" t="inlineStr">
        <is>
          <t>1.07</t>
        </is>
      </c>
      <c r="B10" t="inlineStr">
        <is>
          <t>Koupelna – sprchový kout</t>
        </is>
      </c>
      <c r="C10" t="n">
        <v>2.42</v>
      </c>
      <c r="D10" t="inlineStr">
        <is>
          <t>lepidlo+dlažba 13</t>
        </is>
      </c>
      <c r="E10" t="n">
        <v>13</v>
      </c>
      <c r="F10" t="n">
        <v>79</v>
      </c>
      <c r="G10" t="n">
        <v>8</v>
      </c>
      <c r="H10" t="n">
        <v>50</v>
      </c>
      <c r="I10" t="n">
        <v>100</v>
      </c>
      <c r="J10" t="n">
        <v>100</v>
      </c>
      <c r="K10" t="inlineStr">
        <is>
          <t>60 + 40</t>
        </is>
      </c>
      <c r="L10" t="inlineStr">
        <is>
          <t>EPS 100 S</t>
        </is>
      </c>
      <c r="M10" t="n">
        <v>2.42</v>
      </c>
      <c r="N10" t="n">
        <v>0.242</v>
      </c>
      <c r="O10" t="n">
        <v>250</v>
      </c>
      <c r="P10" t="inlineStr">
        <is>
          <t>Sprchový kout 1.07 (východní, ~1153 × 2100 mm světle; v modelu není samostatná plocha → aproximace 1,153 × 2,1 m). Spád 1,25 % = 26,25 mm: potěr 79 mm na nule → ~53 mm u vpusti.</t>
        </is>
      </c>
    </row>
    <row r="11">
      <c r="A11" t="inlineStr">
        <is>
          <t>1.08</t>
        </is>
      </c>
      <c r="B11" t="inlineStr">
        <is>
          <t>Prádelna</t>
        </is>
      </c>
      <c r="C11" t="n">
        <v>5.26</v>
      </c>
      <c r="D11" t="inlineStr">
        <is>
          <t>PU stěrka 4</t>
        </is>
      </c>
      <c r="E11" t="n">
        <v>4</v>
      </c>
      <c r="F11" t="n">
        <v>68</v>
      </c>
      <c r="G11" t="n">
        <v>8</v>
      </c>
      <c r="H11" t="n">
        <v>50</v>
      </c>
      <c r="I11" t="n">
        <v>120</v>
      </c>
      <c r="J11" t="n">
        <v>120</v>
      </c>
      <c r="K11" t="inlineStr">
        <is>
          <t>60 + 60</t>
        </is>
      </c>
      <c r="L11" t="inlineStr">
        <is>
          <t>EPS 100 S</t>
        </is>
      </c>
      <c r="M11" t="n">
        <v>5.26</v>
      </c>
      <c r="N11" t="n">
        <v>0.631</v>
      </c>
      <c r="O11" t="n">
        <v>250</v>
      </c>
      <c r="P11" t="inlineStr">
        <is>
          <t>Potěr 68 mm (250 − 8 − 120 − 50 − 4). Bílý EPS, 2 vrstvy na vazbu.</t>
        </is>
      </c>
    </row>
    <row r="12">
      <c r="A12" t="inlineStr">
        <is>
          <t>1.09</t>
        </is>
      </c>
      <c r="B12" t="inlineStr">
        <is>
          <t>Koupelna</t>
        </is>
      </c>
      <c r="C12" t="n">
        <v>6.27</v>
      </c>
      <c r="D12" t="inlineStr">
        <is>
          <t>lepidlo+dlažba 13</t>
        </is>
      </c>
      <c r="E12" t="n">
        <v>13</v>
      </c>
      <c r="F12" t="n">
        <v>59</v>
      </c>
      <c r="G12" t="n">
        <v>8</v>
      </c>
      <c r="H12" t="n">
        <v>50</v>
      </c>
      <c r="I12" t="n">
        <v>120</v>
      </c>
      <c r="J12" t="n">
        <v>120</v>
      </c>
      <c r="K12" t="inlineStr">
        <is>
          <t>60 + 60</t>
        </is>
      </c>
      <c r="L12" t="inlineStr">
        <is>
          <t>EPS 100 S</t>
        </is>
      </c>
      <c r="M12" t="n">
        <v>6.27</v>
      </c>
      <c r="N12" t="n">
        <v>0.752</v>
      </c>
      <c r="O12" t="n">
        <v>250</v>
      </c>
      <c r="P12" t="inlineStr">
        <is>
          <t>Stejný EPS jako dům; potěr 59 mm (o 9 mm tenčí kvůli dlažbě).</t>
        </is>
      </c>
    </row>
    <row r="13">
      <c r="A13" t="inlineStr">
        <is>
          <t>1.10</t>
        </is>
      </c>
      <c r="B13" t="inlineStr">
        <is>
          <t>Šatna</t>
        </is>
      </c>
      <c r="C13" t="n">
        <v>9.449999999999999</v>
      </c>
      <c r="D13" t="inlineStr">
        <is>
          <t>PU stěrka 4</t>
        </is>
      </c>
      <c r="E13" t="n">
        <v>4</v>
      </c>
      <c r="F13" t="n">
        <v>68</v>
      </c>
      <c r="G13" t="n">
        <v>8</v>
      </c>
      <c r="H13" t="n">
        <v>50</v>
      </c>
      <c r="I13" t="n">
        <v>120</v>
      </c>
      <c r="J13" t="n">
        <v>120</v>
      </c>
      <c r="K13" t="inlineStr">
        <is>
          <t>60 + 60</t>
        </is>
      </c>
      <c r="L13" t="inlineStr">
        <is>
          <t>EPS 100 S</t>
        </is>
      </c>
      <c r="M13" t="n">
        <v>9.449999999999999</v>
      </c>
      <c r="N13" t="n">
        <v>1.134</v>
      </c>
      <c r="O13" t="n">
        <v>250</v>
      </c>
      <c r="P13" t="inlineStr">
        <is>
          <t>Potěr 68 mm (250 − 8 − 120 − 50 − 4). Bílý EPS, 2 vrstvy na vazbu.</t>
        </is>
      </c>
    </row>
    <row r="14">
      <c r="A14" t="inlineStr">
        <is>
          <t>1.11</t>
        </is>
      </c>
      <c r="B14" t="inlineStr">
        <is>
          <t>Ložnice</t>
        </is>
      </c>
      <c r="C14" t="n">
        <v>22.98</v>
      </c>
      <c r="D14" t="inlineStr">
        <is>
          <t>PU stěrka 4</t>
        </is>
      </c>
      <c r="E14" t="n">
        <v>4</v>
      </c>
      <c r="F14" t="n">
        <v>68</v>
      </c>
      <c r="G14" t="n">
        <v>8</v>
      </c>
      <c r="H14" t="n">
        <v>50</v>
      </c>
      <c r="I14" t="n">
        <v>120</v>
      </c>
      <c r="J14" t="n">
        <v>120</v>
      </c>
      <c r="K14" t="inlineStr">
        <is>
          <t>60 + 60</t>
        </is>
      </c>
      <c r="L14" t="inlineStr">
        <is>
          <t>EPS 100 S</t>
        </is>
      </c>
      <c r="M14" t="n">
        <v>22.98</v>
      </c>
      <c r="N14" t="n">
        <v>2.758</v>
      </c>
      <c r="O14" t="n">
        <v>250</v>
      </c>
      <c r="P14" t="inlineStr">
        <is>
          <t>Potěr 68 mm (250 − 8 − 120 − 50 − 4). Bílý EPS, 2 vrstvy na vazbu.</t>
        </is>
      </c>
    </row>
    <row r="15">
      <c r="A15" t="inlineStr">
        <is>
          <t>1.12</t>
        </is>
      </c>
      <c r="B15" t="inlineStr">
        <is>
          <t>Pokoj</t>
        </is>
      </c>
      <c r="C15" t="n">
        <v>13.67</v>
      </c>
      <c r="D15" t="inlineStr">
        <is>
          <t>PU stěrka 4</t>
        </is>
      </c>
      <c r="E15" t="n">
        <v>4</v>
      </c>
      <c r="F15" t="n">
        <v>68</v>
      </c>
      <c r="G15" t="n">
        <v>8</v>
      </c>
      <c r="H15" t="n">
        <v>50</v>
      </c>
      <c r="I15" t="n">
        <v>120</v>
      </c>
      <c r="J15" t="n">
        <v>120</v>
      </c>
      <c r="K15" t="inlineStr">
        <is>
          <t>60 + 60</t>
        </is>
      </c>
      <c r="L15" t="inlineStr">
        <is>
          <t>EPS 100 S</t>
        </is>
      </c>
      <c r="M15" t="n">
        <v>13.67</v>
      </c>
      <c r="N15" t="n">
        <v>1.64</v>
      </c>
      <c r="O15" t="n">
        <v>250</v>
      </c>
      <c r="P15" t="inlineStr">
        <is>
          <t>Potěr 68 mm (250 − 8 − 120 − 50 − 4). Bílý EPS, 2 vrstvy na vazbu.</t>
        </is>
      </c>
    </row>
    <row r="16">
      <c r="A16" t="inlineStr">
        <is>
          <t>1.13</t>
        </is>
      </c>
      <c r="B16" t="inlineStr">
        <is>
          <t>Pokoj</t>
        </is>
      </c>
      <c r="C16" t="n">
        <v>13.67</v>
      </c>
      <c r="D16" t="inlineStr">
        <is>
          <t>PU stěrka 4</t>
        </is>
      </c>
      <c r="E16" t="n">
        <v>4</v>
      </c>
      <c r="F16" t="n">
        <v>68</v>
      </c>
      <c r="G16" t="n">
        <v>8</v>
      </c>
      <c r="H16" t="n">
        <v>50</v>
      </c>
      <c r="I16" t="n">
        <v>120</v>
      </c>
      <c r="J16" t="n">
        <v>120</v>
      </c>
      <c r="K16" t="inlineStr">
        <is>
          <t>60 + 60</t>
        </is>
      </c>
      <c r="L16" t="inlineStr">
        <is>
          <t>EPS 100 S</t>
        </is>
      </c>
      <c r="M16" t="n">
        <v>13.67</v>
      </c>
      <c r="N16" t="n">
        <v>1.64</v>
      </c>
      <c r="O16" t="n">
        <v>250</v>
      </c>
      <c r="P16" t="inlineStr">
        <is>
          <t>Potěr 68 mm (250 − 8 − 120 − 50 − 4). Bílý EPS, 2 vrstvy na vazbu.</t>
        </is>
      </c>
    </row>
    <row r="17">
      <c r="A17" t="inlineStr">
        <is>
          <t>1.14</t>
        </is>
      </c>
      <c r="B17" t="inlineStr">
        <is>
          <t>Pokoj</t>
        </is>
      </c>
      <c r="C17" t="n">
        <v>13.67</v>
      </c>
      <c r="D17" t="inlineStr">
        <is>
          <t>PU stěrka 4</t>
        </is>
      </c>
      <c r="E17" t="n">
        <v>4</v>
      </c>
      <c r="F17" t="n">
        <v>68</v>
      </c>
      <c r="G17" t="n">
        <v>8</v>
      </c>
      <c r="H17" t="n">
        <v>50</v>
      </c>
      <c r="I17" t="n">
        <v>120</v>
      </c>
      <c r="J17" t="n">
        <v>120</v>
      </c>
      <c r="K17" t="inlineStr">
        <is>
          <t>60 + 60</t>
        </is>
      </c>
      <c r="L17" t="inlineStr">
        <is>
          <t>EPS 100 S</t>
        </is>
      </c>
      <c r="M17" t="n">
        <v>13.67</v>
      </c>
      <c r="N17" t="n">
        <v>1.64</v>
      </c>
      <c r="O17" t="n">
        <v>250</v>
      </c>
      <c r="P17" t="inlineStr">
        <is>
          <t>Potěr 68 mm (250 − 8 − 120 − 50 − 4). Bílý EPS, 2 vrstvy na vazbu.</t>
        </is>
      </c>
    </row>
    <row r="18">
      <c r="A18" t="inlineStr">
        <is>
          <t>1.15</t>
        </is>
      </c>
      <c r="B18" t="inlineStr">
        <is>
          <t>Pracovna</t>
        </is>
      </c>
      <c r="C18" t="n">
        <v>20.22</v>
      </c>
      <c r="D18" t="inlineStr">
        <is>
          <t>PU stěrka 4</t>
        </is>
      </c>
      <c r="E18" t="n">
        <v>4</v>
      </c>
      <c r="F18" t="n">
        <v>68</v>
      </c>
      <c r="G18" t="n">
        <v>8</v>
      </c>
      <c r="H18" t="n">
        <v>50</v>
      </c>
      <c r="I18" t="n">
        <v>120</v>
      </c>
      <c r="J18" t="n">
        <v>120</v>
      </c>
      <c r="K18" t="inlineStr">
        <is>
          <t>60 + 60</t>
        </is>
      </c>
      <c r="L18" t="inlineStr">
        <is>
          <t>EPS 100 S</t>
        </is>
      </c>
      <c r="M18" t="n">
        <v>20.22</v>
      </c>
      <c r="N18" t="n">
        <v>2.426</v>
      </c>
      <c r="O18" t="n">
        <v>250</v>
      </c>
      <c r="P18" t="inlineStr">
        <is>
          <t>Potěr 68 mm (250 − 8 − 120 − 50 − 4). Bílý EPS, 2 vrstvy na vazbu.</t>
        </is>
      </c>
    </row>
    <row r="19">
      <c r="A19" t="inlineStr">
        <is>
          <t>1.16</t>
        </is>
      </c>
      <c r="B19" t="inlineStr">
        <is>
          <t>Garáž</t>
        </is>
      </c>
      <c r="C19" t="n">
        <v>59.4</v>
      </c>
      <c r="D19" t="inlineStr">
        <is>
          <t>PU stěrka 4</t>
        </is>
      </c>
      <c r="E19" t="n">
        <v>4</v>
      </c>
      <c r="F19" t="n">
        <v>100</v>
      </c>
      <c r="G19" t="n">
        <v>8</v>
      </c>
      <c r="H19" t="n">
        <v>50</v>
      </c>
      <c r="I19" t="n">
        <v>88</v>
      </c>
      <c r="J19" t="n">
        <v>90</v>
      </c>
      <c r="K19" t="inlineStr">
        <is>
          <t>50 + 40</t>
        </is>
      </c>
      <c r="L19" t="inlineStr">
        <is>
          <t>EPS 150 S</t>
        </is>
      </c>
      <c r="M19" t="n">
        <v>59.4</v>
      </c>
      <c r="N19" t="n">
        <v>5.346</v>
      </c>
      <c r="O19" t="n">
        <v>252</v>
      </c>
      <c r="P19" t="inlineStr">
        <is>
          <t>Nově podlahové topení; beton 100 mm (Petr). Pojezd aut — EPS 150 S min., ověřit se statikem / výrobcem systémové desky (projekt: XPS 80).</t>
        </is>
      </c>
    </row>
    <row r="20">
      <c r="A20" t="inlineStr">
        <is>
          <t>1.17</t>
        </is>
      </c>
      <c r="B20" t="inlineStr">
        <is>
          <t>Chodba do garáže</t>
        </is>
      </c>
      <c r="C20" t="n">
        <v>6</v>
      </c>
      <c r="D20" t="inlineStr">
        <is>
          <t>PU stěrka 4</t>
        </is>
      </c>
      <c r="E20" t="n">
        <v>4</v>
      </c>
      <c r="F20" t="n">
        <v>100</v>
      </c>
      <c r="G20" t="n">
        <v>8</v>
      </c>
      <c r="H20" t="n">
        <v>50</v>
      </c>
      <c r="I20" t="n">
        <v>88</v>
      </c>
      <c r="J20" t="n">
        <v>90</v>
      </c>
      <c r="K20" t="inlineStr">
        <is>
          <t>50 + 40</t>
        </is>
      </c>
      <c r="L20" t="inlineStr">
        <is>
          <t>EPS 150 S</t>
        </is>
      </c>
      <c r="M20" t="n">
        <v>6</v>
      </c>
      <c r="N20" t="n">
        <v>0.54</v>
      </c>
      <c r="O20" t="n">
        <v>252</v>
      </c>
      <c r="P20" t="inlineStr">
        <is>
          <t>Nově podlahové topení; beton 100 mm (Petr). Pojezd aut — EPS 150 S min., ověřit se statikem / výrobcem systémové desky (projekt: XPS 80).</t>
        </is>
      </c>
    </row>
    <row r="21">
      <c r="A21" t="inlineStr">
        <is>
          <t>1.18</t>
        </is>
      </c>
      <c r="B21" t="inlineStr">
        <is>
          <t>Sklad (venkovní)</t>
        </is>
      </c>
      <c r="C21" t="n">
        <v>10.9</v>
      </c>
      <c r="D21" t="inlineStr">
        <is>
          <t>— (beton)</t>
        </is>
      </c>
      <c r="E21" t="n">
        <v>0</v>
      </c>
      <c r="F21" t="n">
        <v>100</v>
      </c>
      <c r="G21" t="n">
        <v>8</v>
      </c>
      <c r="H21" t="n">
        <v>0</v>
      </c>
      <c r="I21" t="n">
        <v>142</v>
      </c>
      <c r="J21" t="n">
        <v>140</v>
      </c>
      <c r="K21" t="inlineStr">
        <is>
          <t>100 + 40</t>
        </is>
      </c>
      <c r="L21" t="inlineStr">
        <is>
          <t>EPS 150 S</t>
        </is>
      </c>
      <c r="M21" t="n">
        <v>10.9</v>
      </c>
      <c r="N21" t="n">
        <v>1.526</v>
      </c>
      <c r="O21" t="n">
        <v>248</v>
      </c>
      <c r="P21" t="inlineStr">
        <is>
          <t>Venkovní sklad: jen EPS + beton. Beton 100 mm = PLACEHOLDER (doporučeno 100–120 mm + KARI).</t>
        </is>
      </c>
    </row>
    <row r="22">
      <c r="A22" t="inlineStr">
        <is>
          <t>1.19</t>
        </is>
      </c>
      <c r="B22" t="inlineStr">
        <is>
          <t>WC</t>
        </is>
      </c>
      <c r="C22" t="n">
        <v>2.5</v>
      </c>
      <c r="D22" t="inlineStr">
        <is>
          <t>lepidlo+dlažba 13</t>
        </is>
      </c>
      <c r="E22" t="n">
        <v>13</v>
      </c>
      <c r="F22" t="n">
        <v>59</v>
      </c>
      <c r="G22" t="n">
        <v>8</v>
      </c>
      <c r="H22" t="n">
        <v>50</v>
      </c>
      <c r="I22" t="n">
        <v>120</v>
      </c>
      <c r="J22" t="n">
        <v>120</v>
      </c>
      <c r="K22" t="inlineStr">
        <is>
          <t>60 + 60</t>
        </is>
      </c>
      <c r="L22" t="inlineStr">
        <is>
          <t>EPS 100 S</t>
        </is>
      </c>
      <c r="M22" t="n">
        <v>2.5</v>
      </c>
      <c r="N22" t="n">
        <v>0.3</v>
      </c>
      <c r="O22" t="n">
        <v>250</v>
      </c>
      <c r="P22" t="inlineStr">
        <is>
          <t>Stejný EPS jako dům; potěr 59 mm (o 9 mm tenčí kvůli dlažbě).</t>
        </is>
      </c>
    </row>
    <row r="23">
      <c r="A23" t="inlineStr">
        <is>
          <t>1.20</t>
        </is>
      </c>
      <c r="B23" t="inlineStr">
        <is>
          <t>Koupelna</t>
        </is>
      </c>
      <c r="C23" t="n">
        <v>4.19</v>
      </c>
      <c r="D23" t="inlineStr">
        <is>
          <t>lepidlo+dlažba 13</t>
        </is>
      </c>
      <c r="E23" t="n">
        <v>13</v>
      </c>
      <c r="F23" t="n">
        <v>99</v>
      </c>
      <c r="G23" t="n">
        <v>8</v>
      </c>
      <c r="H23" t="n">
        <v>50</v>
      </c>
      <c r="I23" t="n">
        <v>80</v>
      </c>
      <c r="J23" t="n">
        <v>80</v>
      </c>
      <c r="K23" t="inlineStr">
        <is>
          <t>40 + 40</t>
        </is>
      </c>
      <c r="L23" t="inlineStr">
        <is>
          <t>EPS 100 S</t>
        </is>
      </c>
      <c r="M23" t="n">
        <v>4.19</v>
      </c>
      <c r="N23" t="n">
        <v>0.335</v>
      </c>
      <c r="O23" t="n">
        <v>250</v>
      </c>
      <c r="P23" t="inlineStr">
        <is>
          <t>Diagonální spád k vpusti, rozdíl ~43 mm: potěr 99 mm u dveří → ~56 mm u vpusti (min. 45 nad nopy). Přechod ve dveřích = dilatační spára.</t>
        </is>
      </c>
    </row>
    <row r="24">
      <c r="A24" t="inlineStr">
        <is>
          <t>1.21</t>
        </is>
      </c>
      <c r="B24" t="inlineStr">
        <is>
          <t>Koupelna</t>
        </is>
      </c>
      <c r="C24" t="n">
        <v>4.54</v>
      </c>
      <c r="D24" t="inlineStr">
        <is>
          <t>lepidlo+dlažba 13</t>
        </is>
      </c>
      <c r="E24" t="n">
        <v>13</v>
      </c>
      <c r="F24" t="n">
        <v>59</v>
      </c>
      <c r="G24" t="n">
        <v>8</v>
      </c>
      <c r="H24" t="n">
        <v>50</v>
      </c>
      <c r="I24" t="n">
        <v>120</v>
      </c>
      <c r="J24" t="n">
        <v>120</v>
      </c>
      <c r="K24" t="inlineStr">
        <is>
          <t>60 + 60</t>
        </is>
      </c>
      <c r="L24" t="inlineStr">
        <is>
          <t>EPS 100 S</t>
        </is>
      </c>
      <c r="M24" t="n">
        <v>4.54</v>
      </c>
      <c r="N24" t="n">
        <v>0.545</v>
      </c>
      <c r="O24" t="n">
        <v>250</v>
      </c>
      <c r="P24" t="inlineStr">
        <is>
          <t>Stejný EPS jako dům; potěr 59 mm (o 9 mm tenčí kvůli dlažbě).</t>
        </is>
      </c>
    </row>
    <row r="25">
      <c r="A25" t="inlineStr">
        <is>
          <t>1.22</t>
        </is>
      </c>
      <c r="B25" t="inlineStr">
        <is>
          <t>Chodba</t>
        </is>
      </c>
      <c r="C25" t="n">
        <v>3.95</v>
      </c>
      <c r="D25" t="inlineStr">
        <is>
          <t>PU stěrka 4</t>
        </is>
      </c>
      <c r="E25" t="n">
        <v>4</v>
      </c>
      <c r="F25" t="n">
        <v>68</v>
      </c>
      <c r="G25" t="n">
        <v>8</v>
      </c>
      <c r="H25" t="n">
        <v>50</v>
      </c>
      <c r="I25" t="n">
        <v>120</v>
      </c>
      <c r="J25" t="n">
        <v>120</v>
      </c>
      <c r="K25" t="inlineStr">
        <is>
          <t>60 + 60</t>
        </is>
      </c>
      <c r="L25" t="inlineStr">
        <is>
          <t>EPS 100 S</t>
        </is>
      </c>
      <c r="M25" t="n">
        <v>3.95</v>
      </c>
      <c r="N25" t="n">
        <v>0.474</v>
      </c>
      <c r="O25" t="n">
        <v>250</v>
      </c>
      <c r="P25" t="inlineStr">
        <is>
          <t>Potěr 68 mm (250 − 8 − 120 − 50 − 4). Bílý EPS, 2 vrstvy na vazbu.</t>
        </is>
      </c>
    </row>
    <row r="26">
      <c r="A26" t="inlineStr">
        <is>
          <t>1.23</t>
        </is>
      </c>
      <c r="B26" t="inlineStr">
        <is>
          <t>Pokoj+KK</t>
        </is>
      </c>
      <c r="C26" t="n">
        <v>20.03</v>
      </c>
      <c r="D26" t="inlineStr">
        <is>
          <t>PU stěrka 4</t>
        </is>
      </c>
      <c r="E26" t="n">
        <v>4</v>
      </c>
      <c r="F26" t="n">
        <v>68</v>
      </c>
      <c r="G26" t="n">
        <v>8</v>
      </c>
      <c r="H26" t="n">
        <v>50</v>
      </c>
      <c r="I26" t="n">
        <v>120</v>
      </c>
      <c r="J26" t="n">
        <v>120</v>
      </c>
      <c r="K26" t="inlineStr">
        <is>
          <t>60 + 60</t>
        </is>
      </c>
      <c r="L26" t="inlineStr">
        <is>
          <t>EPS 100 S</t>
        </is>
      </c>
      <c r="M26" t="n">
        <v>20.03</v>
      </c>
      <c r="N26" t="n">
        <v>2.404</v>
      </c>
      <c r="O26" t="n">
        <v>250</v>
      </c>
      <c r="P26" t="inlineStr">
        <is>
          <t>Potěr 68 mm (250 − 8 − 120 − 50 − 4). Bílý EPS, 2 vrstvy na vazbu.</t>
        </is>
      </c>
    </row>
    <row r="27">
      <c r="A27" s="3" t="inlineStr"/>
      <c r="B27" s="3" t="inlineStr">
        <is>
          <t>CELKEM</t>
        </is>
      </c>
      <c r="C27" s="3">
        <f>SUM(C3:C26)</f>
        <v/>
      </c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>
        <f>SUM(N3:N26)</f>
        <v/>
      </c>
      <c r="O27" s="3" t="n"/>
      <c r="P27" s="3" t="n"/>
    </row>
  </sheetData>
  <mergeCells count="1"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3" customWidth="1" min="4" max="4"/>
    <col width="12" customWidth="1" min="5" max="5"/>
    <col width="9" customWidth="1" min="6" max="6"/>
    <col width="14" customWidth="1" min="7" max="7"/>
    <col width="14" customWidth="1" min="8" max="8"/>
    <col width="10" customWidth="1" min="9" max="9"/>
    <col width="11" customWidth="1" min="10" max="10"/>
    <col width="50" customWidth="1" min="11" max="11"/>
    <col width="50" customWidth="1" min="12" max="12"/>
  </cols>
  <sheetData>
    <row r="1">
      <c r="A1" s="1" t="inlineStr">
        <is>
          <t>Pořadí</t>
        </is>
      </c>
      <c r="B1" s="1" t="inlineStr">
        <is>
          <t>Typ EPS</t>
        </is>
      </c>
      <c r="C1" s="1" t="inlineStr">
        <is>
          <t>Tloušťka desky mm</t>
        </is>
      </c>
      <c r="D1" s="1" t="inlineStr">
        <is>
          <t>Plocha netto m²</t>
        </is>
      </c>
      <c r="E1" s="1" t="inlineStr">
        <is>
          <t>Objem netto m³</t>
        </is>
      </c>
      <c r="F1" s="1" t="inlineStr">
        <is>
          <t>Rezerva</t>
        </is>
      </c>
      <c r="G1" s="1" t="inlineStr">
        <is>
          <t>Plocha s rezervou m²</t>
        </is>
      </c>
      <c r="H1" s="1" t="inlineStr">
        <is>
          <t>Objem s rezervou m³</t>
        </is>
      </c>
      <c r="I1" s="1" t="inlineStr">
        <is>
          <t>Balení m²</t>
        </is>
      </c>
      <c r="J1" s="1" t="inlineStr">
        <is>
          <t>Počet balíků</t>
        </is>
      </c>
      <c r="K1" s="1" t="inlineStr">
        <is>
          <t>Zdroj balení</t>
        </is>
      </c>
      <c r="L1" s="1" t="inlineStr">
        <is>
          <t>Poznámka</t>
        </is>
      </c>
    </row>
    <row r="2">
      <c r="A2" s="2" t="inlineStr">
        <is>
          <t>Součet po deskách (vícevrstvé skladby rozpadnuté na jednotlivé desky, kladené na vazbu).</t>
        </is>
      </c>
    </row>
    <row r="3">
      <c r="A3" t="n">
        <v>1</v>
      </c>
      <c r="B3" t="inlineStr">
        <is>
          <t>EPS 100 S</t>
        </is>
      </c>
      <c r="C3" t="n">
        <v>40</v>
      </c>
      <c r="D3" t="n">
        <v>10.8</v>
      </c>
      <c r="E3" t="n">
        <v>0.432</v>
      </c>
      <c r="F3" t="inlineStr">
        <is>
          <t>6 %</t>
        </is>
      </c>
      <c r="G3" t="n">
        <v>11.45</v>
      </c>
      <c r="H3" t="n">
        <v>0.458</v>
      </c>
      <c r="I3" t="n">
        <v>6</v>
      </c>
      <c r="J3" t="n">
        <v>2</v>
      </c>
      <c r="K3" t="inlineStr">
        <is>
          <t>Isover EPS 150, TL CZ, desky 1000×500 · https://www.isover.cz/en/documents/technicke-listy/tl-isover-eps-150-cz.pdf</t>
        </is>
      </c>
      <c r="L3" t="inlineStr">
        <is>
          <t>Balení EPS 100 S převzato z EPS 150 (stejný formát) — ověřit u dodavatele.</t>
        </is>
      </c>
    </row>
    <row r="4">
      <c r="A4" t="n">
        <v>2</v>
      </c>
      <c r="B4" t="inlineStr">
        <is>
          <t>EPS 100 S</t>
        </is>
      </c>
      <c r="C4" t="n">
        <v>60</v>
      </c>
      <c r="D4" t="n">
        <v>523.3</v>
      </c>
      <c r="E4" t="n">
        <v>31.398</v>
      </c>
      <c r="F4" t="inlineStr">
        <is>
          <t>6 %</t>
        </is>
      </c>
      <c r="G4" t="n">
        <v>554.7</v>
      </c>
      <c r="H4" t="n">
        <v>33.282</v>
      </c>
      <c r="I4" t="n">
        <v>4</v>
      </c>
      <c r="J4" t="n">
        <v>139</v>
      </c>
      <c r="K4" t="inlineStr">
        <is>
          <t>Isover EPS 150, TL CZ, desky 1000×500 · https://www.isover.cz/en/documents/technicke-listy/tl-isover-eps-150-cz.pdf</t>
        </is>
      </c>
      <c r="L4" t="inlineStr">
        <is>
          <t>Balení EPS 100 S převzato z EPS 150 (stejný formát) — ověřit u dodavatele.</t>
        </is>
      </c>
    </row>
    <row r="5">
      <c r="A5" t="n">
        <v>3</v>
      </c>
      <c r="B5" t="inlineStr">
        <is>
          <t>EPS 150 S</t>
        </is>
      </c>
      <c r="C5" t="n">
        <v>40</v>
      </c>
      <c r="D5" t="n">
        <v>76.3</v>
      </c>
      <c r="E5" t="n">
        <v>3.052</v>
      </c>
      <c r="F5" t="inlineStr">
        <is>
          <t>6 %</t>
        </is>
      </c>
      <c r="G5" t="n">
        <v>80.88</v>
      </c>
      <c r="H5" t="n">
        <v>3.235</v>
      </c>
      <c r="I5" t="n">
        <v>6</v>
      </c>
      <c r="J5" t="n">
        <v>14</v>
      </c>
      <c r="K5" t="inlineStr">
        <is>
          <t>Isover EPS 150, TL CZ, desky 1000×500 · https://www.isover.cz/en/documents/technicke-listy/tl-isover-eps-150-cz.pdf</t>
        </is>
      </c>
      <c r="L5" t="inlineStr"/>
    </row>
    <row r="6">
      <c r="A6" t="n">
        <v>4</v>
      </c>
      <c r="B6" t="inlineStr">
        <is>
          <t>EPS 150 S</t>
        </is>
      </c>
      <c r="C6" t="n">
        <v>50</v>
      </c>
      <c r="D6" t="n">
        <v>65.40000000000001</v>
      </c>
      <c r="E6" t="n">
        <v>3.27</v>
      </c>
      <c r="F6" t="inlineStr">
        <is>
          <t>6 %</t>
        </is>
      </c>
      <c r="G6" t="n">
        <v>69.31999999999999</v>
      </c>
      <c r="H6" t="n">
        <v>3.466</v>
      </c>
      <c r="I6" t="n">
        <v>5</v>
      </c>
      <c r="J6" t="n">
        <v>14</v>
      </c>
      <c r="K6" t="inlineStr">
        <is>
          <t>Isover EPS 150, TL CZ, desky 1000×500 · https://www.isover.cz/en/documents/technicke-listy/tl-isover-eps-150-cz.pdf</t>
        </is>
      </c>
      <c r="L6" t="inlineStr"/>
    </row>
    <row r="7">
      <c r="A7" t="n">
        <v>5</v>
      </c>
      <c r="B7" t="inlineStr">
        <is>
          <t>EPS 150 S</t>
        </is>
      </c>
      <c r="C7" t="n">
        <v>100</v>
      </c>
      <c r="D7" t="n">
        <v>10.9</v>
      </c>
      <c r="E7" t="n">
        <v>1.09</v>
      </c>
      <c r="F7" t="inlineStr">
        <is>
          <t>6 %</t>
        </is>
      </c>
      <c r="G7" t="n">
        <v>11.55</v>
      </c>
      <c r="H7" t="n">
        <v>1.155</v>
      </c>
      <c r="I7" t="n">
        <v>2.5</v>
      </c>
      <c r="J7" t="n">
        <v>5</v>
      </c>
      <c r="K7" t="inlineStr">
        <is>
          <t>Isover EPS 150, TL CZ, desky 1000×500 · https://www.isover.cz/en/documents/technicke-listy/tl-isover-eps-150-cz.pdf</t>
        </is>
      </c>
      <c r="L7" t="inlineStr"/>
    </row>
    <row r="8">
      <c r="A8" s="3" t="inlineStr"/>
      <c r="B8" s="3" t="inlineStr">
        <is>
          <t>CELKEM</t>
        </is>
      </c>
      <c r="C8" s="3" t="inlineStr"/>
      <c r="D8" s="3">
        <f>SUM(D3:D7)</f>
        <v/>
      </c>
      <c r="E8" s="3">
        <f>SUM(E3:E7)</f>
        <v/>
      </c>
      <c r="F8" s="3" t="inlineStr"/>
      <c r="G8" s="3">
        <f>SUM(G3:G7)</f>
        <v/>
      </c>
      <c r="H8" s="3">
        <f>SUM(H3:H7)</f>
        <v/>
      </c>
      <c r="I8" s="3" t="inlineStr"/>
      <c r="J8" s="3">
        <f>SUM(J3:J7)</f>
        <v/>
      </c>
      <c r="K8" s="3" t="n"/>
      <c r="L8" s="3" t="n"/>
    </row>
  </sheetData>
  <mergeCells count="1">
    <mergeCell ref="A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4" t="inlineStr">
        <is>
          <t>Položka</t>
        </is>
      </c>
      <c r="B1" s="4" t="inlineStr">
        <is>
          <t>Hodnota</t>
        </is>
      </c>
    </row>
    <row r="2">
      <c r="A2" t="inlineStr">
        <is>
          <t>Regenerace</t>
        </is>
      </c>
      <c r="B2" t="inlineStr">
        <is>
          <t>python scripts/export_podlaha_eps.py</t>
        </is>
      </c>
    </row>
    <row r="3">
      <c r="A3" t="inlineStr">
        <is>
          <t>Plochy</t>
        </is>
      </c>
      <c r="B3" t="inlineStr">
        <is>
          <t>D.1.4.1.03 (ZTI 1.NP) tabulka místností; součet 343,35 m² vs užitná plocha 363,73 m² v D.1.1.01 — rozdíl nevysvětlen, terasa 1.24 nezahrnuta</t>
        </is>
      </c>
    </row>
    <row r="4">
      <c r="A4" t="inlineStr">
        <is>
          <t>Skladba A (projekt)</t>
        </is>
      </c>
      <c r="B4" t="inlineStr">
        <is>
          <t>dlažba 10 + tmel 3 + potěr 60 + PE 0,2 + EPS 100 Z 50+120 + AP Elastek 4 + AP Glastek 4 = 251,2 mm</t>
        </is>
      </c>
    </row>
    <row r="5">
      <c r="A5" t="inlineStr">
        <is>
          <t>Skladba C garáž (projekt)</t>
        </is>
      </c>
      <c r="B5" t="inlineStr">
        <is>
          <t>epoxid 2 + potěr+KARI 160 + XPS 80 + 2× AP 4 = 250,2 mm</t>
        </is>
      </c>
    </row>
    <row r="6">
      <c r="A6" t="inlineStr">
        <is>
          <t>Nová skladba dům (2026-10-14 odp.)</t>
        </is>
      </c>
      <c r="B6" t="inlineStr">
        <is>
          <t>hydroizolace 8 + EPS 100 S 60+60 (bílý, na vazbu) + syst. nopová deska 50 (30 EPS + 20 nopy) + potěr 68 + PU 4 = 250 mm</t>
        </is>
      </c>
    </row>
    <row r="7">
      <c r="A7" t="inlineStr">
        <is>
          <t>Koupelny 1.06/1.07/1.09/1.19/1.21</t>
        </is>
      </c>
      <c r="B7" t="inlineStr">
        <is>
          <t>EPS 60+60 + deska 50 + potěr 59 + lepidlo+dlažba 13 = 250 mm</t>
        </is>
      </c>
    </row>
    <row r="8">
      <c r="A8" t="inlineStr">
        <is>
          <t>Proč 68 / 59</t>
        </is>
      </c>
      <c r="B8" t="inlineStr">
        <is>
          <t>Dopočet na 250: 250 − 8 − 120 − 50 − finál (4 PU / 13 dlažba). Oba potěry nad min. 45 mm nad nopy</t>
        </is>
      </c>
    </row>
    <row r="9">
      <c r="A9" t="inlineStr">
        <is>
          <t>Proč 60+60</t>
        </is>
      </c>
      <c r="B9" t="inlineStr">
        <is>
          <t>Jedna tloušťka desky k nákupu (méně prořezu a záměn), dvě vrstvy kvůli vazbě spár; bílý EPS (šedý se u podlahy na terénu nevyplatí)</t>
        </is>
      </c>
    </row>
    <row r="10">
      <c r="A10" t="inlineStr">
        <is>
          <t>Koupelna 1.20 (spád)</t>
        </is>
      </c>
      <c r="B10" t="inlineStr">
        <is>
          <t>EPS 40+40; potěr 99 u dveří / ~56 u vpusti (diagonální spád, ~43 mm); skok EPS ve dveřích s dilatační spárou</t>
        </is>
      </c>
    </row>
    <row r="11">
      <c r="A11" t="inlineStr">
        <is>
          <t>Sprcha 1.07</t>
        </is>
      </c>
      <c r="B11" t="inlineStr">
        <is>
          <t>Jen východní sprchový kout ~1153 × 2100 mm (aproximace 1,153 × 2,1 = 2,42 m², v modelu není dílčí plocha): EPS 60+40, potěr 79 na nule / ~53 u vpusti (1,25 % = 26,25 mm); zbytek 1.07 60+60</t>
        </is>
      </c>
    </row>
    <row r="12">
      <c r="A12" t="inlineStr">
        <is>
          <t>Garáž, chodba 1.17, sklad 1.18</t>
        </is>
      </c>
      <c r="B12" t="inlineStr">
        <is>
          <t>Beze změny; celkové skladby garáž+1.17 = 252 mm, sklad 1.18 = 248 mm (zaokrouhlení EPS na prodejné desky)</t>
        </is>
      </c>
    </row>
    <row r="13">
      <c r="A13" t="inlineStr">
        <is>
          <t>Zaokrouhlení</t>
        </is>
      </c>
      <c r="B13" t="inlineStr">
        <is>
          <t>Dům: potěr dopočten přesně na 250. Garáž 88→90 (+2), sklad 142→140 (−2) — vyrovná beton</t>
        </is>
      </c>
    </row>
    <row r="14">
      <c r="A14" t="inlineStr">
        <is>
          <t>Rezerva</t>
        </is>
      </c>
      <c r="B14" t="inlineStr">
        <is>
          <t>6 % prořez</t>
        </is>
      </c>
    </row>
    <row r="15">
      <c r="A15" t="inlineStr">
        <is>
          <t>Tepelná izolace</t>
        </is>
      </c>
      <c r="B15" t="inlineStr">
        <is>
          <t>Projekt měl v domě 170 mm EPS; nově 120 (1.20: 80, sprcha 1.07: 100) + syst. deska (nopová EPS ~20–30 mm). Ověřit vůči PENB.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2026-10-14T11:18:19Z</dcterms:created>
  <dcterms:modified xmlns:dcterms="http://purl.org/dc/terms/" xmlns:xsi="http://www.w3.org/2001/XMLSchema-instance" xsi:type="dcterms:W3CDTF">2026-10-14T11:18:19Z</dcterms:modified>
</cp:coreProperties>
</file>